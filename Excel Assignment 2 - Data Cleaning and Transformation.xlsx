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thu\Desktop\Entri DA\Assignment\"/>
    </mc:Choice>
  </mc:AlternateContent>
  <xr:revisionPtr revIDLastSave="0" documentId="13_ncr:1_{BF789572-707D-42E5-81DD-D3F115941B21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Instructions" sheetId="1" r:id="rId1"/>
    <sheet name="Dataset" sheetId="2" r:id="rId2"/>
    <sheet name="Assignment Work" sheetId="4" r:id="rId3"/>
  </sheets>
  <definedNames>
    <definedName name="_xlnm._FilterDatabase" localSheetId="2" hidden="1">'Assignment Work'!$I$2:$N$36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P4" i="4" l="1"/>
  <c r="P5" i="4"/>
  <c r="P6" i="4"/>
  <c r="P7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3" i="4"/>
  <c r="P24" i="4"/>
  <c r="P25" i="4"/>
  <c r="P26" i="4"/>
  <c r="P28" i="4"/>
  <c r="P29" i="4"/>
  <c r="P30" i="4"/>
  <c r="P31" i="4"/>
  <c r="P32" i="4"/>
  <c r="P33" i="4"/>
  <c r="P3" i="4"/>
  <c r="O4" i="4" l="1"/>
  <c r="O5" i="4"/>
  <c r="O6" i="4"/>
  <c r="O7" i="4"/>
  <c r="O8" i="4"/>
  <c r="P8" i="4" s="1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P22" i="4" s="1"/>
  <c r="O23" i="4"/>
  <c r="O24" i="4"/>
  <c r="O25" i="4"/>
  <c r="O26" i="4"/>
  <c r="O27" i="4"/>
  <c r="P27" i="4" s="1"/>
  <c r="O28" i="4"/>
  <c r="O29" i="4"/>
  <c r="O30" i="4"/>
  <c r="O31" i="4"/>
  <c r="O32" i="4"/>
  <c r="O33" i="4"/>
  <c r="O3" i="4"/>
  <c r="F38" i="4"/>
  <c r="E38" i="4"/>
  <c r="F39" i="4"/>
  <c r="E39" i="4"/>
  <c r="K4" i="4"/>
  <c r="K5" i="4"/>
  <c r="K6" i="4"/>
  <c r="K7" i="4"/>
  <c r="K8" i="4"/>
  <c r="K9" i="4"/>
  <c r="K10" i="4"/>
  <c r="K11" i="4"/>
  <c r="T11" i="4" s="1"/>
  <c r="K12" i="4"/>
  <c r="T12" i="4" s="1"/>
  <c r="K13" i="4"/>
  <c r="K14" i="4"/>
  <c r="K15" i="4"/>
  <c r="T15" i="4" s="1"/>
  <c r="K16" i="4"/>
  <c r="K17" i="4"/>
  <c r="K18" i="4"/>
  <c r="K19" i="4"/>
  <c r="K20" i="4"/>
  <c r="K21" i="4"/>
  <c r="K22" i="4"/>
  <c r="K23" i="4"/>
  <c r="T23" i="4" s="1"/>
  <c r="K24" i="4"/>
  <c r="T24" i="4" s="1"/>
  <c r="K25" i="4"/>
  <c r="K26" i="4"/>
  <c r="K27" i="4"/>
  <c r="T27" i="4" s="1"/>
  <c r="K28" i="4"/>
  <c r="K29" i="4"/>
  <c r="K30" i="4"/>
  <c r="K31" i="4"/>
  <c r="K32" i="4"/>
  <c r="K33" i="4"/>
  <c r="K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T20" i="4" s="1"/>
  <c r="J21" i="4"/>
  <c r="J22" i="4"/>
  <c r="J23" i="4"/>
  <c r="J24" i="4"/>
  <c r="J25" i="4"/>
  <c r="J26" i="4"/>
  <c r="J27" i="4"/>
  <c r="J28" i="4"/>
  <c r="J29" i="4"/>
  <c r="J30" i="4"/>
  <c r="J31" i="4"/>
  <c r="J32" i="4"/>
  <c r="T32" i="4" s="1"/>
  <c r="J33" i="4"/>
  <c r="J3" i="4"/>
  <c r="I4" i="4"/>
  <c r="I5" i="4"/>
  <c r="I6" i="4"/>
  <c r="I7" i="4"/>
  <c r="I8" i="4"/>
  <c r="S8" i="4" s="1"/>
  <c r="I9" i="4"/>
  <c r="S9" i="4" s="1"/>
  <c r="I10" i="4"/>
  <c r="S10" i="4" s="1"/>
  <c r="I11" i="4"/>
  <c r="S11" i="4" s="1"/>
  <c r="I12" i="4"/>
  <c r="S12" i="4" s="1"/>
  <c r="I13" i="4"/>
  <c r="I14" i="4"/>
  <c r="I15" i="4"/>
  <c r="I16" i="4"/>
  <c r="S16" i="4" s="1"/>
  <c r="I17" i="4"/>
  <c r="I18" i="4"/>
  <c r="S18" i="4" s="1"/>
  <c r="I19" i="4"/>
  <c r="S19" i="4" s="1"/>
  <c r="I20" i="4"/>
  <c r="S20" i="4" s="1"/>
  <c r="I21" i="4"/>
  <c r="S21" i="4" s="1"/>
  <c r="I22" i="4"/>
  <c r="S22" i="4" s="1"/>
  <c r="I23" i="4"/>
  <c r="S23" i="4" s="1"/>
  <c r="I24" i="4"/>
  <c r="S24" i="4" s="1"/>
  <c r="I25" i="4"/>
  <c r="I26" i="4"/>
  <c r="I27" i="4"/>
  <c r="I28" i="4"/>
  <c r="S28" i="4" s="1"/>
  <c r="I29" i="4"/>
  <c r="I30" i="4"/>
  <c r="S30" i="4" s="1"/>
  <c r="I31" i="4"/>
  <c r="I32" i="4"/>
  <c r="S32" i="4" s="1"/>
  <c r="I33" i="4"/>
  <c r="S33" i="4" s="1"/>
  <c r="I3" i="4"/>
  <c r="G38" i="4"/>
  <c r="D38" i="4"/>
  <c r="C38" i="4"/>
  <c r="B38" i="4"/>
  <c r="T3" i="4" l="1"/>
  <c r="T22" i="4"/>
  <c r="T10" i="4"/>
  <c r="T21" i="4"/>
  <c r="T9" i="4"/>
  <c r="T33" i="4"/>
  <c r="T26" i="4"/>
  <c r="T14" i="4"/>
  <c r="T25" i="4"/>
  <c r="T13" i="4"/>
  <c r="S7" i="4"/>
  <c r="S6" i="4"/>
  <c r="T8" i="4"/>
  <c r="T31" i="4"/>
  <c r="T19" i="4"/>
  <c r="T7" i="4"/>
  <c r="S4" i="4"/>
  <c r="T30" i="4"/>
  <c r="T18" i="4"/>
  <c r="T6" i="4"/>
  <c r="T29" i="4"/>
  <c r="T17" i="4"/>
  <c r="T5" i="4"/>
  <c r="T28" i="4"/>
  <c r="T16" i="4"/>
  <c r="T4" i="4"/>
  <c r="S31" i="4"/>
  <c r="S29" i="4"/>
  <c r="S17" i="4"/>
  <c r="S5" i="4"/>
  <c r="S27" i="4"/>
  <c r="S15" i="4"/>
  <c r="S26" i="4"/>
  <c r="S14" i="4"/>
  <c r="S25" i="4"/>
  <c r="S13" i="4"/>
  <c r="S3" i="4"/>
  <c r="P34" i="4" l="1"/>
</calcChain>
</file>

<file path=xl/sharedStrings.xml><?xml version="1.0" encoding="utf-8"?>
<sst xmlns="http://schemas.openxmlformats.org/spreadsheetml/2006/main" count="431" uniqueCount="164">
  <si>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</si>
  <si>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</si>
  <si>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</si>
  <si>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</si>
  <si>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</si>
  <si>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</si>
  <si>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</si>
  <si>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</si>
  <si>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</si>
  <si>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</si>
  <si>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</si>
  <si>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</si>
  <si>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</si>
  <si>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</si>
  <si>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</si>
  <si>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</si>
  <si>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</si>
  <si>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</si>
  <si>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</si>
  <si>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</si>
  <si>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</si>
  <si>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</si>
  <si>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</si>
  <si>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</si>
  <si>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</si>
  <si>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</si>
  <si>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</si>
  <si>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</si>
  <si>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</si>
  <si>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</si>
  <si>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</si>
  <si>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</si>
  <si>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</si>
  <si>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</si>
  <si>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</si>
  <si>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</si>
  <si>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</si>
  <si>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</si>
  <si>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</si>
  <si>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</si>
  <si>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</si>
  <si>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</si>
  <si>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</si>
  <si>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</si>
  <si>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</si>
  <si>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</si>
  <si>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</si>
  <si>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</si>
  <si>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</si>
  <si>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</si>
  <si>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</si>
  <si>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</si>
  <si>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</si>
  <si>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</si>
  <si>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</si>
  <si>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</si>
  <si>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</si>
  <si>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</si>
  <si>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</si>
  <si>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</si>
  <si>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</si>
  <si>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</si>
  <si>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</si>
  <si>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</si>
  <si>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</si>
  <si>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</si>
  <si>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</si>
  <si>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</si>
  <si>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</si>
  <si>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</si>
  <si>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</si>
  <si>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</si>
  <si>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</si>
  <si>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</si>
  <si>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</si>
  <si>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</si>
  <si>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</si>
  <si>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</si>
  <si>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</si>
  <si>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</si>
  <si>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</si>
  <si>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</si>
  <si>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</si>
  <si>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</si>
  <si>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</si>
  <si>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</si>
  <si>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</si>
  <si>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</si>
  <si>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</si>
  <si>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</si>
  <si>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</si>
  <si>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</si>
  <si>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</si>
  <si>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</si>
  <si>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</si>
  <si>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</si>
  <si>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</si>
  <si>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</si>
  <si>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</si>
  <si>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</si>
  <si>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</si>
  <si>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</si>
  <si>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</si>
  <si>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</si>
  <si>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</si>
  <si>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</si>
  <si>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</si>
  <si>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</si>
  <si>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</si>
  <si>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</si>
  <si>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</si>
  <si>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</si>
  <si>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</si>
  <si>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</si>
  <si>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</si>
  <si>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</si>
  <si>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Average or Mean</t>
  </si>
  <si>
    <t>Count Blank</t>
  </si>
  <si>
    <t>Manufacturing Date</t>
  </si>
  <si>
    <t>Product Brand</t>
  </si>
  <si>
    <t>Clean</t>
  </si>
  <si>
    <t>upper</t>
  </si>
  <si>
    <t>Find &amp;Replace</t>
  </si>
  <si>
    <t>Upper</t>
  </si>
  <si>
    <t>if,isblank,round,averageif</t>
  </si>
  <si>
    <t>Raw Data</t>
  </si>
  <si>
    <t>Country Code</t>
  </si>
  <si>
    <t>Left</t>
  </si>
  <si>
    <t>right</t>
  </si>
  <si>
    <t>concatenate</t>
  </si>
  <si>
    <t>Currency and decimal correction</t>
  </si>
  <si>
    <t>DD-MM-YYY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</si>
  <si>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</si>
  <si>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</si>
  <si>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</si>
  <si>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</si>
  <si>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</si>
  <si>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</si>
  <si>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</si>
  <si>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</si>
  <si>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</si>
  <si>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</si>
  <si>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</si>
  <si>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</si>
  <si>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</si>
  <si>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</si>
  <si>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</si>
  <si>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</si>
  <si>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</si>
  <si>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</si>
  <si>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</si>
  <si>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</si>
  <si>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</si>
  <si>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</si>
  <si>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</si>
  <si>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</si>
  <si>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</si>
  <si>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</si>
  <si>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</si>
  <si>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Paste value only</t>
  </si>
  <si>
    <t>Data Bar</t>
  </si>
  <si>
    <t>Highlight Electronics category using Custom rule</t>
  </si>
  <si>
    <t>28-JAN-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</si>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</sst>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[$-14009]dd/mm/yyyy;@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0" fillId="0" borderId="0" xfId="0" applyFont="1"/>
    <xf numFmtId="0" fontId="2" fillId="4" borderId="0" xfId="0" applyFont="1" applyFill="1"/>
    <xf numFmtId="0" fontId="0" fillId="4" borderId="0" xfId="0" applyFill="1"/>
    <xf numFmtId="0" fontId="12" fillId="4" borderId="0" xfId="0" applyFont="1" applyFill="1"/>
    <xf numFmtId="0" fontId="5" fillId="4" borderId="0" xfId="0" applyFont="1" applyFill="1"/>
    <xf numFmtId="0" fontId="7" fillId="2" borderId="1" xfId="0" applyFont="1" applyFill="1" applyBorder="1" applyAlignment="1">
      <alignment horizontal="center"/>
    </xf>
    <xf numFmtId="0" fontId="5" fillId="0" borderId="1" xfId="0" applyFont="1" applyBorder="1"/>
    <xf numFmtId="0" fontId="5" fillId="3" borderId="1" xfId="0" applyFont="1" applyFill="1" applyBorder="1"/>
    <xf numFmtId="0" fontId="8" fillId="0" borderId="1" xfId="0" applyFont="1" applyBorder="1" applyAlignment="1">
      <alignment horizontal="left" vertical="center" wrapText="1"/>
    </xf>
    <xf numFmtId="0" fontId="0" fillId="5" borderId="0" xfId="0" applyFill="1" applyAlignment="1">
      <alignment horizontal="center" vertical="center"/>
    </xf>
    <xf numFmtId="0" fontId="0" fillId="0" borderId="1" xfId="0" applyBorder="1"/>
    <xf numFmtId="0" fontId="9" fillId="2" borderId="1" xfId="0" applyFont="1" applyFill="1" applyBorder="1" applyAlignment="1">
      <alignment horizontal="center"/>
    </xf>
    <xf numFmtId="0" fontId="11" fillId="0" borderId="1" xfId="0" applyFont="1" applyBorder="1"/>
    <xf numFmtId="0" fontId="8" fillId="0" borderId="0" xfId="0" applyFont="1"/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164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0" fontId="8" fillId="5" borderId="0" xfId="0" quotePrefix="1" applyFont="1" applyFill="1" applyAlignment="1">
      <alignment horizontal="center"/>
    </xf>
    <xf numFmtId="0" fontId="13" fillId="0" borderId="0" xfId="0" applyFont="1" applyAlignment="1">
      <alignment vertical="center"/>
    </xf>
    <xf numFmtId="164" fontId="8" fillId="0" borderId="0" xfId="0" applyNumberFormat="1" applyFont="1"/>
    <xf numFmtId="165" fontId="0" fillId="0" borderId="1" xfId="0" applyNumberForma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B3" sqref="B3:M26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11" t="s">
        <v>2</v>
      </c>
    </row>
    <row r="5" spans="1:11" ht="15.75" customHeight="1" x14ac:dyDescent="0.35">
      <c r="B5" s="4"/>
      <c r="C5" s="11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topLeftCell="A3" workbookViewId="0">
      <selection activeCell="H30" sqref="H30"/>
    </sheetView>
  </sheetViews>
  <sheetFormatPr defaultColWidth="12.6328125" defaultRowHeight="15" customHeight="1" x14ac:dyDescent="0.25"/>
  <cols>
    <col min="1" max="6" width="12.6328125" customWidth="1"/>
  </cols>
  <sheetData>
    <row r="1" spans="1: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</row>
    <row r="4" spans="1: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</row>
    <row r="5" spans="1: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</row>
    <row r="6" spans="1: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D616-06C3-4B6D-A994-07FA2EF2D41C}">
  <dimension ref="A1:T64"/>
  <sheetViews>
    <sheetView tabSelected="1" topLeftCell="H1" zoomScale="87" zoomScaleNormal="87" workbookViewId="0">
      <selection activeCell="Q3" sqref="Q3:Q33"/>
    </sheetView>
  </sheetViews>
  <sheetFormatPr defaultColWidth="10.90625" defaultRowHeight="12.5" x14ac:dyDescent="0.25"/>
  <cols>
    <col min="1" max="1" width="9" customWidth="1"/>
    <col min="2" max="2" width="10.54296875" bestFit="1" customWidth="1"/>
    <col min="3" max="3" width="13.36328125" bestFit="1" customWidth="1"/>
    <col min="4" max="4" width="11.7265625" bestFit="1" customWidth="1"/>
    <col min="5" max="5" width="11.81640625" customWidth="1"/>
    <col min="6" max="6" width="11.81640625" bestFit="1" customWidth="1"/>
    <col min="7" max="7" width="10.7265625" bestFit="1" customWidth="1"/>
    <col min="8" max="8" width="7.90625" customWidth="1"/>
    <col min="9" max="9" width="12.54296875" customWidth="1"/>
    <col min="10" max="10" width="17.453125" bestFit="1" customWidth="1"/>
    <col min="11" max="11" width="12.26953125" bestFit="1" customWidth="1"/>
    <col min="12" max="12" width="8" customWidth="1"/>
    <col min="13" max="13" width="8.1796875" bestFit="1" customWidth="1"/>
    <col min="14" max="14" width="13.90625" bestFit="1" customWidth="1"/>
    <col min="15" max="15" width="20.7265625" bestFit="1" customWidth="1"/>
    <col min="16" max="16" width="13.08984375" customWidth="1"/>
    <col min="17" max="17" width="18.08984375" bestFit="1" customWidth="1"/>
    <col min="18" max="18" width="18.08984375" customWidth="1"/>
    <col min="19" max="19" width="12.81640625" bestFit="1" customWidth="1"/>
    <col min="20" max="20" width="27.36328125" bestFit="1" customWidth="1"/>
  </cols>
  <sheetData>
    <row r="1" spans="2:20" ht="13" x14ac:dyDescent="0.25">
      <c r="B1" s="33" t="s">
        <v>125</v>
      </c>
      <c r="C1" s="33"/>
      <c r="D1" s="33"/>
      <c r="E1" s="33"/>
      <c r="F1" s="33"/>
      <c r="G1" s="33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2:20" ht="13" x14ac:dyDescent="0.3">
      <c r="B2" s="16" t="s">
        <v>19</v>
      </c>
      <c r="C2" s="16" t="s">
        <v>20</v>
      </c>
      <c r="D2" s="16" t="s">
        <v>21</v>
      </c>
      <c r="E2" s="16" t="s">
        <v>22</v>
      </c>
      <c r="F2" s="16" t="s">
        <v>23</v>
      </c>
      <c r="G2" s="16" t="s">
        <v>24</v>
      </c>
      <c r="I2" s="16" t="s">
        <v>19</v>
      </c>
      <c r="J2" s="16" t="s">
        <v>20</v>
      </c>
      <c r="K2" s="16" t="s">
        <v>21</v>
      </c>
      <c r="L2" s="16" t="s">
        <v>22</v>
      </c>
      <c r="M2" s="16" t="s">
        <v>23</v>
      </c>
      <c r="N2" s="16" t="s">
        <v>24</v>
      </c>
      <c r="O2" s="16" t="s">
        <v>24</v>
      </c>
      <c r="P2" s="22" t="s">
        <v>22</v>
      </c>
      <c r="Q2" s="22" t="s">
        <v>118</v>
      </c>
      <c r="R2" s="22" t="s">
        <v>131</v>
      </c>
      <c r="S2" s="22" t="s">
        <v>126</v>
      </c>
      <c r="T2" s="22" t="s">
        <v>119</v>
      </c>
    </row>
    <row r="3" spans="2:20" x14ac:dyDescent="0.25">
      <c r="B3" s="17" t="s">
        <v>25</v>
      </c>
      <c r="C3" s="17" t="s">
        <v>26</v>
      </c>
      <c r="D3" s="17" t="s">
        <v>27</v>
      </c>
      <c r="E3" s="17">
        <v>1000</v>
      </c>
      <c r="F3" s="17">
        <v>30</v>
      </c>
      <c r="G3" s="17" t="s">
        <v>28</v>
      </c>
      <c r="I3" s="21" t="str">
        <f t="shared" ref="I3:I33" si="0">CLEAN(B3)</f>
        <v>28-JAN-US</v>
      </c>
      <c r="J3" s="21" t="str">
        <f t="shared" ref="J3:J33" si="1">UPPER(C3)</f>
        <v>LAPTOP</v>
      </c>
      <c r="K3" s="21" t="str">
        <f t="shared" ref="K3:K33" si="2">UPPER(D3)</f>
        <v>DELL</v>
      </c>
      <c r="L3" s="17">
        <v>1000</v>
      </c>
      <c r="M3" s="17">
        <v>30</v>
      </c>
      <c r="N3" s="17" t="s">
        <v>28</v>
      </c>
      <c r="O3" s="21" t="str">
        <f t="shared" ref="O3:O33" si="3">UPPER(IF(ISBLANK(N3),"Unknown",N3))</f>
        <v>ELECTRONICS</v>
      </c>
      <c r="P3" s="27">
        <f>IF(ISBLANK(L3),ROUND(AVERAGEIF($O$3:$O$33,O3,$L$3:$L$33),0),L3)</f>
        <v>1000</v>
      </c>
      <c r="Q3" s="28" t="s">
        <v>162</v>
      </c>
      <c r="R3" s="32" t="s">
        <v>163</v>
      </c>
      <c r="S3" s="10" t="str">
        <f>RIGHT(I3,2)</f>
        <v>US</v>
      </c>
      <c r="T3" s="21" t="str">
        <f>CONCATENATE(K3," ",J3)</f>
        <v>DELL LAPTOP</v>
      </c>
    </row>
    <row r="4" spans="2:20" x14ac:dyDescent="0.25">
      <c r="B4" s="18" t="s">
        <v>29</v>
      </c>
      <c r="C4" s="18" t="s">
        <v>30</v>
      </c>
      <c r="D4" s="18" t="s">
        <v>31</v>
      </c>
      <c r="E4" s="18">
        <v>80</v>
      </c>
      <c r="F4" s="18">
        <v>15</v>
      </c>
      <c r="G4" s="18" t="s">
        <v>32</v>
      </c>
      <c r="I4" s="21" t="str">
        <f t="shared" si="0"/>
        <v>15-FEB-US</v>
      </c>
      <c r="J4" s="21" t="str">
        <f t="shared" si="1"/>
        <v>SNEAKERS</v>
      </c>
      <c r="K4" s="21" t="str">
        <f t="shared" si="2"/>
        <v>NIKE</v>
      </c>
      <c r="L4" s="17">
        <v>80</v>
      </c>
      <c r="M4" s="17">
        <v>15</v>
      </c>
      <c r="N4" s="17" t="s">
        <v>32</v>
      </c>
      <c r="O4" s="21" t="str">
        <f t="shared" si="3"/>
        <v>FASHION</v>
      </c>
      <c r="P4" s="27">
        <f t="shared" ref="P4:P33" si="4">IF(ISBLANK(L4),ROUND(AVERAGEIF($O$3:$O$33,O4,$L$3:$L$33),0),L4)</f>
        <v>80</v>
      </c>
      <c r="Q4" s="28" t="s">
        <v>29</v>
      </c>
      <c r="R4" s="32" t="s">
        <v>132</v>
      </c>
      <c r="S4" s="10" t="str">
        <f t="shared" ref="S4:S33" si="5">RIGHT(I4,2)</f>
        <v>US</v>
      </c>
      <c r="T4" s="21" t="str">
        <f t="shared" ref="T4:T33" si="6">CONCATENATE(K4," ",J4)</f>
        <v>NIKE SNEAKERS</v>
      </c>
    </row>
    <row r="5" spans="2:20" x14ac:dyDescent="0.25">
      <c r="B5" s="17" t="s">
        <v>33</v>
      </c>
      <c r="C5" s="17" t="s">
        <v>34</v>
      </c>
      <c r="D5" s="17" t="s">
        <v>35</v>
      </c>
      <c r="E5" s="17">
        <v>130</v>
      </c>
      <c r="F5" s="17">
        <v>40</v>
      </c>
      <c r="G5" s="17" t="s">
        <v>36</v>
      </c>
      <c r="I5" s="21" t="str">
        <f t="shared" si="0"/>
        <v>03-MAR-US</v>
      </c>
      <c r="J5" s="21" t="str">
        <f t="shared" si="1"/>
        <v>COFFEE MAKER</v>
      </c>
      <c r="K5" s="21" t="str">
        <f t="shared" si="2"/>
        <v>KEURIG</v>
      </c>
      <c r="L5" s="17">
        <v>130</v>
      </c>
      <c r="M5" s="17">
        <v>40</v>
      </c>
      <c r="N5" s="17" t="s">
        <v>36</v>
      </c>
      <c r="O5" s="21" t="str">
        <f t="shared" si="3"/>
        <v>KITCHEN</v>
      </c>
      <c r="P5" s="27">
        <f t="shared" si="4"/>
        <v>130</v>
      </c>
      <c r="Q5" s="28" t="s">
        <v>33</v>
      </c>
      <c r="R5" s="32" t="s">
        <v>133</v>
      </c>
      <c r="S5" s="10" t="str">
        <f t="shared" si="5"/>
        <v>US</v>
      </c>
      <c r="T5" s="21" t="str">
        <f t="shared" si="6"/>
        <v>KEURIG COFFEE MAKER</v>
      </c>
    </row>
    <row r="6" spans="2:20" x14ac:dyDescent="0.25">
      <c r="B6" s="18" t="s">
        <v>37</v>
      </c>
      <c r="C6" s="18" t="s">
        <v>38</v>
      </c>
      <c r="D6" s="18" t="s">
        <v>39</v>
      </c>
      <c r="E6" s="18">
        <v>900</v>
      </c>
      <c r="F6" s="18">
        <v>25</v>
      </c>
      <c r="G6" s="18" t="s">
        <v>28</v>
      </c>
      <c r="I6" s="21" t="str">
        <f t="shared" si="0"/>
        <v>11-APR-US</v>
      </c>
      <c r="J6" s="21" t="str">
        <f t="shared" si="1"/>
        <v>SMARTPHONE</v>
      </c>
      <c r="K6" s="21" t="str">
        <f t="shared" si="2"/>
        <v>SAMSUNG</v>
      </c>
      <c r="L6" s="17">
        <v>900</v>
      </c>
      <c r="M6" s="17">
        <v>25</v>
      </c>
      <c r="N6" s="23" t="s">
        <v>28</v>
      </c>
      <c r="O6" s="21" t="str">
        <f t="shared" si="3"/>
        <v>ELECTRONICS</v>
      </c>
      <c r="P6" s="27">
        <f t="shared" si="4"/>
        <v>900</v>
      </c>
      <c r="Q6" s="28" t="s">
        <v>37</v>
      </c>
      <c r="R6" s="32" t="s">
        <v>134</v>
      </c>
      <c r="S6" s="10" t="str">
        <f t="shared" si="5"/>
        <v>US</v>
      </c>
      <c r="T6" s="21" t="str">
        <f t="shared" si="6"/>
        <v>SAMSUNG SMARTPHONE</v>
      </c>
    </row>
    <row r="7" spans="2:20" x14ac:dyDescent="0.25">
      <c r="B7" s="17" t="s">
        <v>40</v>
      </c>
      <c r="C7" s="17" t="s">
        <v>41</v>
      </c>
      <c r="D7" s="17" t="s">
        <v>42</v>
      </c>
      <c r="E7" s="17">
        <v>70</v>
      </c>
      <c r="F7" s="17">
        <v>20</v>
      </c>
      <c r="G7" s="17"/>
      <c r="I7" s="21" t="str">
        <f t="shared" si="0"/>
        <v>22-MAY-US</v>
      </c>
      <c r="J7" s="21" t="str">
        <f t="shared" si="1"/>
        <v>BACKPACK</v>
      </c>
      <c r="K7" s="21" t="str">
        <f t="shared" si="2"/>
        <v>NORTH FACE</v>
      </c>
      <c r="L7" s="17">
        <v>70</v>
      </c>
      <c r="M7" s="17">
        <v>20</v>
      </c>
      <c r="N7" s="17"/>
      <c r="O7" s="21" t="str">
        <f t="shared" si="3"/>
        <v>UNKNOWN</v>
      </c>
      <c r="P7" s="27">
        <f t="shared" si="4"/>
        <v>70</v>
      </c>
      <c r="Q7" s="28" t="s">
        <v>40</v>
      </c>
      <c r="R7" s="32" t="s">
        <v>135</v>
      </c>
      <c r="S7" s="10" t="str">
        <f t="shared" si="5"/>
        <v>US</v>
      </c>
      <c r="T7" s="21" t="str">
        <f t="shared" si="6"/>
        <v>NORTH FACE BACKPACK</v>
      </c>
    </row>
    <row r="8" spans="2:20" x14ac:dyDescent="0.25">
      <c r="B8" s="18" t="s">
        <v>43</v>
      </c>
      <c r="C8" s="18" t="s">
        <v>44</v>
      </c>
      <c r="D8" s="18" t="s">
        <v>45</v>
      </c>
      <c r="E8" s="18"/>
      <c r="F8" s="18">
        <v>45</v>
      </c>
      <c r="G8" s="18" t="s">
        <v>28</v>
      </c>
      <c r="I8" s="21" t="str">
        <f t="shared" si="0"/>
        <v>07-JUN-UK</v>
      </c>
      <c r="J8" s="21" t="str">
        <f t="shared" si="1"/>
        <v>HEADPHONES</v>
      </c>
      <c r="K8" s="21" t="str">
        <f t="shared" si="2"/>
        <v>SONY</v>
      </c>
      <c r="L8" s="17"/>
      <c r="M8" s="17">
        <v>45</v>
      </c>
      <c r="N8" s="23" t="s">
        <v>28</v>
      </c>
      <c r="O8" s="21" t="str">
        <f t="shared" si="3"/>
        <v>ELECTRONICS</v>
      </c>
      <c r="P8" s="27">
        <f t="shared" si="4"/>
        <v>593</v>
      </c>
      <c r="Q8" s="28" t="s">
        <v>43</v>
      </c>
      <c r="R8" s="32" t="s">
        <v>136</v>
      </c>
      <c r="S8" s="10" t="str">
        <f t="shared" si="5"/>
        <v>UK</v>
      </c>
      <c r="T8" s="21" t="str">
        <f t="shared" si="6"/>
        <v>SONY HEADPHONES</v>
      </c>
    </row>
    <row r="9" spans="2:20" x14ac:dyDescent="0.25">
      <c r="B9" s="17" t="s">
        <v>47</v>
      </c>
      <c r="C9" s="17" t="s">
        <v>48</v>
      </c>
      <c r="D9" s="17" t="s">
        <v>49</v>
      </c>
      <c r="E9" s="17">
        <v>30</v>
      </c>
      <c r="F9" s="17">
        <v>5</v>
      </c>
      <c r="G9" s="17" t="s">
        <v>32</v>
      </c>
      <c r="I9" s="21" t="str">
        <f t="shared" si="0"/>
        <v>19-JUL-UK</v>
      </c>
      <c r="J9" s="21" t="str">
        <f t="shared" si="1"/>
        <v>T-SHIRT</v>
      </c>
      <c r="K9" s="21" t="str">
        <f t="shared" si="2"/>
        <v>ADIDAS</v>
      </c>
      <c r="L9" s="17">
        <v>30</v>
      </c>
      <c r="M9" s="17">
        <v>5</v>
      </c>
      <c r="N9" s="17" t="s">
        <v>32</v>
      </c>
      <c r="O9" s="21" t="str">
        <f t="shared" si="3"/>
        <v>FASHION</v>
      </c>
      <c r="P9" s="27">
        <f t="shared" si="4"/>
        <v>30</v>
      </c>
      <c r="Q9" s="28" t="s">
        <v>47</v>
      </c>
      <c r="R9" s="32" t="s">
        <v>137</v>
      </c>
      <c r="S9" s="10" t="str">
        <f t="shared" si="5"/>
        <v>UK</v>
      </c>
      <c r="T9" s="21" t="str">
        <f t="shared" si="6"/>
        <v>ADIDAS T-SHIRT</v>
      </c>
    </row>
    <row r="10" spans="2:20" x14ac:dyDescent="0.25">
      <c r="B10" s="18" t="s">
        <v>50</v>
      </c>
      <c r="C10" s="18" t="s">
        <v>51</v>
      </c>
      <c r="D10" s="18" t="s">
        <v>52</v>
      </c>
      <c r="E10" s="18">
        <v>90</v>
      </c>
      <c r="F10" s="18">
        <v>35</v>
      </c>
      <c r="G10" s="18" t="s">
        <v>36</v>
      </c>
      <c r="I10" s="21" t="str">
        <f t="shared" si="0"/>
        <v>23-AUG-UK</v>
      </c>
      <c r="J10" s="21" t="str">
        <f t="shared" si="1"/>
        <v>BLENDER</v>
      </c>
      <c r="K10" s="21" t="str">
        <f t="shared" si="2"/>
        <v>NINJA</v>
      </c>
      <c r="L10" s="17">
        <v>90</v>
      </c>
      <c r="M10" s="17">
        <v>35</v>
      </c>
      <c r="N10" s="17" t="s">
        <v>36</v>
      </c>
      <c r="O10" s="21" t="str">
        <f t="shared" si="3"/>
        <v>KITCHEN</v>
      </c>
      <c r="P10" s="27">
        <f t="shared" si="4"/>
        <v>90</v>
      </c>
      <c r="Q10" s="28" t="s">
        <v>50</v>
      </c>
      <c r="R10" s="32" t="s">
        <v>138</v>
      </c>
      <c r="S10" s="10" t="str">
        <f t="shared" si="5"/>
        <v>UK</v>
      </c>
      <c r="T10" s="21" t="str">
        <f t="shared" si="6"/>
        <v>NINJA BLENDER</v>
      </c>
    </row>
    <row r="11" spans="2:20" x14ac:dyDescent="0.25">
      <c r="B11" s="17" t="s">
        <v>53</v>
      </c>
      <c r="C11" s="17" t="s">
        <v>54</v>
      </c>
      <c r="D11" s="17" t="s">
        <v>55</v>
      </c>
      <c r="E11" s="17">
        <v>500</v>
      </c>
      <c r="F11" s="17">
        <v>50</v>
      </c>
      <c r="G11" s="17" t="s">
        <v>28</v>
      </c>
      <c r="I11" s="21" t="str">
        <f t="shared" si="0"/>
        <v>05-SEP-UK</v>
      </c>
      <c r="J11" s="21" t="str">
        <f t="shared" si="1"/>
        <v>TABLET</v>
      </c>
      <c r="K11" s="21" t="str">
        <f t="shared" si="2"/>
        <v>APPLE</v>
      </c>
      <c r="L11" s="17">
        <v>500</v>
      </c>
      <c r="M11" s="17">
        <v>50</v>
      </c>
      <c r="N11" s="17" t="s">
        <v>28</v>
      </c>
      <c r="O11" s="21" t="str">
        <f t="shared" si="3"/>
        <v>ELECTRONICS</v>
      </c>
      <c r="P11" s="27">
        <f t="shared" si="4"/>
        <v>500</v>
      </c>
      <c r="Q11" s="28" t="s">
        <v>53</v>
      </c>
      <c r="R11" s="32" t="s">
        <v>139</v>
      </c>
      <c r="S11" s="10" t="str">
        <f t="shared" si="5"/>
        <v>UK</v>
      </c>
      <c r="T11" s="21" t="str">
        <f t="shared" si="6"/>
        <v>APPLE TABLET</v>
      </c>
    </row>
    <row r="12" spans="2:20" x14ac:dyDescent="0.25">
      <c r="B12" s="18" t="s">
        <v>56</v>
      </c>
      <c r="C12" s="18" t="s">
        <v>57</v>
      </c>
      <c r="D12" s="18" t="s">
        <v>58</v>
      </c>
      <c r="E12" s="18">
        <v>130</v>
      </c>
      <c r="F12" s="18">
        <v>10</v>
      </c>
      <c r="G12" s="18" t="s">
        <v>59</v>
      </c>
      <c r="I12" s="21" t="str">
        <f t="shared" si="0"/>
        <v>14-OCT-UK</v>
      </c>
      <c r="J12" s="21" t="str">
        <f t="shared" si="1"/>
        <v>HIKING BOOTS</v>
      </c>
      <c r="K12" s="21" t="str">
        <f t="shared" si="2"/>
        <v>TIMBERLAND</v>
      </c>
      <c r="L12" s="17">
        <v>130</v>
      </c>
      <c r="M12" s="17">
        <v>10</v>
      </c>
      <c r="N12" s="17" t="s">
        <v>59</v>
      </c>
      <c r="O12" s="21" t="str">
        <f t="shared" si="3"/>
        <v>OUTDOOR</v>
      </c>
      <c r="P12" s="27">
        <f t="shared" si="4"/>
        <v>130</v>
      </c>
      <c r="Q12" s="28" t="s">
        <v>56</v>
      </c>
      <c r="R12" s="32" t="s">
        <v>140</v>
      </c>
      <c r="S12" s="10" t="str">
        <f t="shared" si="5"/>
        <v>UK</v>
      </c>
      <c r="T12" s="21" t="str">
        <f t="shared" si="6"/>
        <v>TIMBERLAND HIKING BOOTS</v>
      </c>
    </row>
    <row r="13" spans="2:20" x14ac:dyDescent="0.25">
      <c r="B13" s="17" t="s">
        <v>60</v>
      </c>
      <c r="C13" s="17" t="s">
        <v>61</v>
      </c>
      <c r="D13" s="17" t="s">
        <v>62</v>
      </c>
      <c r="E13" s="17">
        <v>950</v>
      </c>
      <c r="F13" s="17">
        <v>25</v>
      </c>
      <c r="G13" s="17" t="s">
        <v>28</v>
      </c>
      <c r="I13" s="21" t="str">
        <f t="shared" si="0"/>
        <v>17-JUN-IN</v>
      </c>
      <c r="J13" s="21" t="str">
        <f t="shared" si="1"/>
        <v>LAPTOP</v>
      </c>
      <c r="K13" s="21" t="str">
        <f t="shared" si="2"/>
        <v>HP</v>
      </c>
      <c r="L13" s="17">
        <v>950</v>
      </c>
      <c r="M13" s="17">
        <v>25</v>
      </c>
      <c r="N13" s="17" t="s">
        <v>28</v>
      </c>
      <c r="O13" s="21" t="str">
        <f t="shared" si="3"/>
        <v>ELECTRONICS</v>
      </c>
      <c r="P13" s="27">
        <f t="shared" si="4"/>
        <v>950</v>
      </c>
      <c r="Q13" s="28" t="s">
        <v>60</v>
      </c>
      <c r="R13" s="32" t="s">
        <v>141</v>
      </c>
      <c r="S13" s="10" t="str">
        <f t="shared" si="5"/>
        <v>IN</v>
      </c>
      <c r="T13" s="21" t="str">
        <f t="shared" si="6"/>
        <v>HP LAPTOP</v>
      </c>
    </row>
    <row r="14" spans="2:20" x14ac:dyDescent="0.25">
      <c r="B14" s="18" t="s">
        <v>63</v>
      </c>
      <c r="C14" s="18" t="s">
        <v>30</v>
      </c>
      <c r="D14" s="18" t="s">
        <v>49</v>
      </c>
      <c r="E14" s="18">
        <v>90</v>
      </c>
      <c r="F14" s="18">
        <v>40</v>
      </c>
      <c r="G14" s="18"/>
      <c r="I14" s="21" t="str">
        <f t="shared" si="0"/>
        <v>25-NOV-AU</v>
      </c>
      <c r="J14" s="21" t="str">
        <f t="shared" si="1"/>
        <v>SNEAKERS</v>
      </c>
      <c r="K14" s="21" t="str">
        <f t="shared" si="2"/>
        <v>ADIDAS</v>
      </c>
      <c r="L14" s="17">
        <v>90</v>
      </c>
      <c r="M14" s="17">
        <v>40</v>
      </c>
      <c r="N14" s="17"/>
      <c r="O14" s="21" t="str">
        <f t="shared" si="3"/>
        <v>UNKNOWN</v>
      </c>
      <c r="P14" s="27">
        <f t="shared" si="4"/>
        <v>90</v>
      </c>
      <c r="Q14" s="28" t="s">
        <v>63</v>
      </c>
      <c r="R14" s="32" t="s">
        <v>142</v>
      </c>
      <c r="S14" s="10" t="str">
        <f t="shared" si="5"/>
        <v>AU</v>
      </c>
      <c r="T14" s="21" t="str">
        <f t="shared" si="6"/>
        <v>ADIDAS SNEAKERS</v>
      </c>
    </row>
    <row r="15" spans="2:20" x14ac:dyDescent="0.25">
      <c r="B15" s="17" t="s">
        <v>64</v>
      </c>
      <c r="C15" s="17" t="s">
        <v>34</v>
      </c>
      <c r="D15" s="17" t="s">
        <v>65</v>
      </c>
      <c r="E15" s="17">
        <v>120</v>
      </c>
      <c r="F15" s="17">
        <v>35</v>
      </c>
      <c r="G15" s="17"/>
      <c r="I15" s="21" t="str">
        <f t="shared" si="0"/>
        <v>08-DEC-DE</v>
      </c>
      <c r="J15" s="21" t="str">
        <f t="shared" si="1"/>
        <v>COFFEE MAKER</v>
      </c>
      <c r="K15" s="21" t="str">
        <f t="shared" si="2"/>
        <v>NESPRESSO</v>
      </c>
      <c r="L15" s="17">
        <v>120</v>
      </c>
      <c r="M15" s="17">
        <v>35</v>
      </c>
      <c r="N15" s="17"/>
      <c r="O15" s="21" t="str">
        <f t="shared" si="3"/>
        <v>UNKNOWN</v>
      </c>
      <c r="P15" s="27">
        <f t="shared" si="4"/>
        <v>120</v>
      </c>
      <c r="Q15" s="28" t="s">
        <v>64</v>
      </c>
      <c r="R15" s="32" t="s">
        <v>143</v>
      </c>
      <c r="S15" s="10" t="str">
        <f t="shared" si="5"/>
        <v>DE</v>
      </c>
      <c r="T15" s="21" t="str">
        <f t="shared" si="6"/>
        <v>NESPRESSO COFFEE MAKER</v>
      </c>
    </row>
    <row r="16" spans="2:20" x14ac:dyDescent="0.25">
      <c r="B16" s="18" t="s">
        <v>66</v>
      </c>
      <c r="C16" s="18" t="s">
        <v>67</v>
      </c>
      <c r="D16" s="18" t="s">
        <v>68</v>
      </c>
      <c r="E16" s="18">
        <v>150</v>
      </c>
      <c r="F16" s="18">
        <v>15</v>
      </c>
      <c r="G16" s="18" t="s">
        <v>28</v>
      </c>
      <c r="I16" s="21" t="str">
        <f t="shared" si="0"/>
        <v>18-FEB-CA</v>
      </c>
      <c r="J16" s="21" t="str">
        <f t="shared" si="1"/>
        <v>SMARTWATCH</v>
      </c>
      <c r="K16" s="21" t="str">
        <f t="shared" si="2"/>
        <v>FITBIT</v>
      </c>
      <c r="L16" s="17">
        <v>150</v>
      </c>
      <c r="M16" s="17">
        <v>15</v>
      </c>
      <c r="N16" s="17" t="s">
        <v>28</v>
      </c>
      <c r="O16" s="21" t="str">
        <f t="shared" si="3"/>
        <v>ELECTRONICS</v>
      </c>
      <c r="P16" s="27">
        <f t="shared" si="4"/>
        <v>150</v>
      </c>
      <c r="Q16" s="28" t="s">
        <v>66</v>
      </c>
      <c r="R16" s="32" t="s">
        <v>144</v>
      </c>
      <c r="S16" s="10" t="str">
        <f t="shared" si="5"/>
        <v>CA</v>
      </c>
      <c r="T16" s="21" t="str">
        <f t="shared" si="6"/>
        <v>FITBIT SMARTWATCH</v>
      </c>
    </row>
    <row r="17" spans="2:20" x14ac:dyDescent="0.25">
      <c r="B17" s="17" t="s">
        <v>69</v>
      </c>
      <c r="C17" s="17" t="s">
        <v>70</v>
      </c>
      <c r="D17" s="17" t="s">
        <v>71</v>
      </c>
      <c r="E17" s="17">
        <v>250</v>
      </c>
      <c r="F17" s="17">
        <v>20</v>
      </c>
      <c r="G17" s="17" t="s">
        <v>28</v>
      </c>
      <c r="I17" s="21" t="str">
        <f t="shared" si="0"/>
        <v>16-APR-ES</v>
      </c>
      <c r="J17" s="21" t="str">
        <f t="shared" si="1"/>
        <v>HEADPHONES</v>
      </c>
      <c r="K17" s="21" t="str">
        <f t="shared" si="2"/>
        <v>BOSE</v>
      </c>
      <c r="L17" s="17">
        <v>250</v>
      </c>
      <c r="M17" s="17">
        <v>20</v>
      </c>
      <c r="N17" s="17" t="s">
        <v>28</v>
      </c>
      <c r="O17" s="21" t="str">
        <f t="shared" si="3"/>
        <v>ELECTRONICS</v>
      </c>
      <c r="P17" s="27">
        <f t="shared" si="4"/>
        <v>250</v>
      </c>
      <c r="Q17" s="28" t="s">
        <v>69</v>
      </c>
      <c r="R17" s="32" t="s">
        <v>145</v>
      </c>
      <c r="S17" s="10" t="str">
        <f t="shared" si="5"/>
        <v>ES</v>
      </c>
      <c r="T17" s="21" t="str">
        <f t="shared" si="6"/>
        <v>BOSE HEADPHONES</v>
      </c>
    </row>
    <row r="18" spans="2:20" x14ac:dyDescent="0.25">
      <c r="B18" s="18" t="s">
        <v>72</v>
      </c>
      <c r="C18" s="18" t="s">
        <v>73</v>
      </c>
      <c r="D18" s="18" t="s">
        <v>74</v>
      </c>
      <c r="E18" s="18">
        <v>50</v>
      </c>
      <c r="F18" s="18">
        <v>35</v>
      </c>
      <c r="G18" s="18" t="s">
        <v>75</v>
      </c>
      <c r="I18" s="21" t="str">
        <f t="shared" si="0"/>
        <v>21-AUG-CA</v>
      </c>
      <c r="J18" s="21" t="str">
        <f t="shared" si="1"/>
        <v>LAPTOP BAG</v>
      </c>
      <c r="K18" s="21" t="str">
        <f t="shared" si="2"/>
        <v>SAMSONITE</v>
      </c>
      <c r="L18" s="17">
        <v>50</v>
      </c>
      <c r="M18" s="17">
        <v>35</v>
      </c>
      <c r="N18" s="17" t="s">
        <v>75</v>
      </c>
      <c r="O18" s="21" t="str">
        <f t="shared" si="3"/>
        <v>ACCESSORIES</v>
      </c>
      <c r="P18" s="27">
        <f t="shared" si="4"/>
        <v>50</v>
      </c>
      <c r="Q18" s="28" t="s">
        <v>72</v>
      </c>
      <c r="R18" s="32" t="s">
        <v>146</v>
      </c>
      <c r="S18" s="10" t="str">
        <f t="shared" si="5"/>
        <v>CA</v>
      </c>
      <c r="T18" s="21" t="str">
        <f t="shared" si="6"/>
        <v>SAMSONITE LAPTOP BAG</v>
      </c>
    </row>
    <row r="19" spans="2:20" x14ac:dyDescent="0.25">
      <c r="B19" s="17" t="s">
        <v>76</v>
      </c>
      <c r="C19" s="17" t="s">
        <v>67</v>
      </c>
      <c r="D19" s="17" t="s">
        <v>77</v>
      </c>
      <c r="E19" s="17">
        <v>160</v>
      </c>
      <c r="F19" s="17">
        <v>15</v>
      </c>
      <c r="G19" s="17" t="s">
        <v>28</v>
      </c>
      <c r="I19" s="21" t="str">
        <f t="shared" si="0"/>
        <v>20-AUG-CN</v>
      </c>
      <c r="J19" s="21" t="str">
        <f t="shared" si="1"/>
        <v>SMARTWATCH</v>
      </c>
      <c r="K19" s="21" t="str">
        <f t="shared" si="2"/>
        <v>HUAWEI</v>
      </c>
      <c r="L19" s="17">
        <v>160</v>
      </c>
      <c r="M19" s="17">
        <v>15</v>
      </c>
      <c r="N19" s="17" t="s">
        <v>28</v>
      </c>
      <c r="O19" s="21" t="str">
        <f t="shared" si="3"/>
        <v>ELECTRONICS</v>
      </c>
      <c r="P19" s="27">
        <f t="shared" si="4"/>
        <v>160</v>
      </c>
      <c r="Q19" s="28" t="s">
        <v>76</v>
      </c>
      <c r="R19" s="32" t="s">
        <v>147</v>
      </c>
      <c r="S19" s="10" t="str">
        <f t="shared" si="5"/>
        <v>CN</v>
      </c>
      <c r="T19" s="21" t="str">
        <f t="shared" si="6"/>
        <v>HUAWEI SMARTWATCH</v>
      </c>
    </row>
    <row r="20" spans="2:20" x14ac:dyDescent="0.25">
      <c r="B20" s="18" t="s">
        <v>78</v>
      </c>
      <c r="C20" s="18" t="s">
        <v>26</v>
      </c>
      <c r="D20" s="18" t="s">
        <v>79</v>
      </c>
      <c r="E20" s="18">
        <v>980</v>
      </c>
      <c r="F20" s="18">
        <v>10</v>
      </c>
      <c r="G20" s="18" t="s">
        <v>28</v>
      </c>
      <c r="I20" s="21" t="str">
        <f t="shared" si="0"/>
        <v>27-JAN-IT</v>
      </c>
      <c r="J20" s="21" t="str">
        <f t="shared" si="1"/>
        <v>LAPTOP</v>
      </c>
      <c r="K20" s="21" t="str">
        <f t="shared" si="2"/>
        <v>ASUS</v>
      </c>
      <c r="L20" s="17">
        <v>980</v>
      </c>
      <c r="M20" s="17">
        <v>10</v>
      </c>
      <c r="N20" s="17" t="s">
        <v>28</v>
      </c>
      <c r="O20" s="21" t="str">
        <f t="shared" si="3"/>
        <v>ELECTRONICS</v>
      </c>
      <c r="P20" s="27">
        <f t="shared" si="4"/>
        <v>980</v>
      </c>
      <c r="Q20" s="28" t="s">
        <v>78</v>
      </c>
      <c r="R20" s="32" t="s">
        <v>148</v>
      </c>
      <c r="S20" s="10" t="str">
        <f t="shared" si="5"/>
        <v>IT</v>
      </c>
      <c r="T20" s="21" t="str">
        <f t="shared" si="6"/>
        <v>ASUS LAPTOP</v>
      </c>
    </row>
    <row r="21" spans="2:20" x14ac:dyDescent="0.25">
      <c r="B21" s="17" t="s">
        <v>80</v>
      </c>
      <c r="C21" s="17" t="s">
        <v>81</v>
      </c>
      <c r="D21" s="17" t="s">
        <v>82</v>
      </c>
      <c r="E21" s="17">
        <v>150</v>
      </c>
      <c r="F21" s="17">
        <v>15</v>
      </c>
      <c r="G21" s="17" t="s">
        <v>32</v>
      </c>
      <c r="I21" s="21" t="str">
        <f t="shared" si="0"/>
        <v>01-MAR-UK</v>
      </c>
      <c r="J21" s="21" t="str">
        <f t="shared" si="1"/>
        <v>SUNGLASSES</v>
      </c>
      <c r="K21" s="21" t="str">
        <f t="shared" si="2"/>
        <v>OAKLEY</v>
      </c>
      <c r="L21" s="17">
        <v>150</v>
      </c>
      <c r="M21" s="17">
        <v>15</v>
      </c>
      <c r="N21" s="17" t="s">
        <v>32</v>
      </c>
      <c r="O21" s="21" t="str">
        <f t="shared" si="3"/>
        <v>FASHION</v>
      </c>
      <c r="P21" s="27">
        <f t="shared" si="4"/>
        <v>150</v>
      </c>
      <c r="Q21" s="28" t="s">
        <v>80</v>
      </c>
      <c r="R21" s="32" t="s">
        <v>149</v>
      </c>
      <c r="S21" s="10" t="str">
        <f t="shared" si="5"/>
        <v>UK</v>
      </c>
      <c r="T21" s="21" t="str">
        <f t="shared" si="6"/>
        <v>OAKLEY SUNGLASSES</v>
      </c>
    </row>
    <row r="22" spans="2:20" x14ac:dyDescent="0.25">
      <c r="B22" s="18" t="s">
        <v>83</v>
      </c>
      <c r="C22" s="18" t="s">
        <v>84</v>
      </c>
      <c r="D22" s="18" t="s">
        <v>85</v>
      </c>
      <c r="E22" s="18"/>
      <c r="F22" s="18">
        <v>10</v>
      </c>
      <c r="G22" s="18" t="s">
        <v>59</v>
      </c>
      <c r="I22" s="21" t="str">
        <f t="shared" si="0"/>
        <v>14-AUG-US</v>
      </c>
      <c r="J22" s="21" t="str">
        <f t="shared" si="1"/>
        <v>CAMPING TENT</v>
      </c>
      <c r="K22" s="21" t="str">
        <f t="shared" si="2"/>
        <v>COLEMAN</v>
      </c>
      <c r="L22" s="17"/>
      <c r="M22" s="17">
        <v>10</v>
      </c>
      <c r="N22" s="17" t="s">
        <v>59</v>
      </c>
      <c r="O22" s="21" t="str">
        <f t="shared" si="3"/>
        <v>OUTDOOR</v>
      </c>
      <c r="P22" s="27">
        <f t="shared" si="4"/>
        <v>130</v>
      </c>
      <c r="Q22" s="28" t="s">
        <v>83</v>
      </c>
      <c r="R22" s="32" t="s">
        <v>150</v>
      </c>
      <c r="S22" s="10" t="str">
        <f t="shared" si="5"/>
        <v>US</v>
      </c>
      <c r="T22" s="21" t="str">
        <f t="shared" si="6"/>
        <v>COLEMAN CAMPING TENT</v>
      </c>
    </row>
    <row r="23" spans="2:20" x14ac:dyDescent="0.25">
      <c r="B23" s="17" t="s">
        <v>86</v>
      </c>
      <c r="C23" s="17" t="s">
        <v>87</v>
      </c>
      <c r="D23" s="17" t="s">
        <v>88</v>
      </c>
      <c r="E23" s="17">
        <v>700</v>
      </c>
      <c r="F23" s="17">
        <v>50</v>
      </c>
      <c r="G23" s="17" t="s">
        <v>28</v>
      </c>
      <c r="I23" s="21" t="str">
        <f t="shared" si="0"/>
        <v>14-MAY-RU</v>
      </c>
      <c r="J23" s="21" t="str">
        <f t="shared" si="1"/>
        <v>CAMERA</v>
      </c>
      <c r="K23" s="21" t="str">
        <f t="shared" si="2"/>
        <v>NIKON</v>
      </c>
      <c r="L23" s="17">
        <v>700</v>
      </c>
      <c r="M23" s="17">
        <v>50</v>
      </c>
      <c r="N23" s="17" t="s">
        <v>28</v>
      </c>
      <c r="O23" s="21" t="str">
        <f t="shared" si="3"/>
        <v>ELECTRONICS</v>
      </c>
      <c r="P23" s="27">
        <f t="shared" si="4"/>
        <v>700</v>
      </c>
      <c r="Q23" s="28" t="s">
        <v>86</v>
      </c>
      <c r="R23" s="32" t="s">
        <v>151</v>
      </c>
      <c r="S23" s="10" t="str">
        <f t="shared" si="5"/>
        <v>RU</v>
      </c>
      <c r="T23" s="21" t="str">
        <f t="shared" si="6"/>
        <v>NIKON CAMERA</v>
      </c>
    </row>
    <row r="24" spans="2:20" x14ac:dyDescent="0.25">
      <c r="B24" s="18" t="s">
        <v>89</v>
      </c>
      <c r="C24" s="18" t="s">
        <v>90</v>
      </c>
      <c r="D24" s="18" t="s">
        <v>91</v>
      </c>
      <c r="E24" s="18">
        <v>80</v>
      </c>
      <c r="F24" s="18">
        <v>20</v>
      </c>
      <c r="G24" s="18" t="s">
        <v>36</v>
      </c>
      <c r="I24" s="21" t="str">
        <f t="shared" si="0"/>
        <v>09-JAN-CA</v>
      </c>
      <c r="J24" s="21" t="str">
        <f t="shared" si="1"/>
        <v>MICROWAVE</v>
      </c>
      <c r="K24" s="21" t="str">
        <f t="shared" si="2"/>
        <v>PANASONIC</v>
      </c>
      <c r="L24" s="17">
        <v>80</v>
      </c>
      <c r="M24" s="17">
        <v>20</v>
      </c>
      <c r="N24" s="17" t="s">
        <v>36</v>
      </c>
      <c r="O24" s="21" t="str">
        <f t="shared" si="3"/>
        <v>KITCHEN</v>
      </c>
      <c r="P24" s="27">
        <f t="shared" si="4"/>
        <v>80</v>
      </c>
      <c r="Q24" s="28" t="s">
        <v>89</v>
      </c>
      <c r="R24" s="32" t="s">
        <v>152</v>
      </c>
      <c r="S24" s="10" t="str">
        <f t="shared" si="5"/>
        <v>CA</v>
      </c>
      <c r="T24" s="21" t="str">
        <f t="shared" si="6"/>
        <v>PANASONIC MICROWAVE</v>
      </c>
    </row>
    <row r="25" spans="2:20" x14ac:dyDescent="0.25">
      <c r="B25" s="17" t="s">
        <v>92</v>
      </c>
      <c r="C25" s="17" t="s">
        <v>93</v>
      </c>
      <c r="D25" s="17" t="s">
        <v>94</v>
      </c>
      <c r="E25" s="17">
        <v>150</v>
      </c>
      <c r="F25" s="17">
        <v>30</v>
      </c>
      <c r="G25" s="17"/>
      <c r="I25" s="21" t="str">
        <f t="shared" si="0"/>
        <v>19-JUL-BR</v>
      </c>
      <c r="J25" s="21" t="str">
        <f t="shared" si="1"/>
        <v>FITNESS TRACKER</v>
      </c>
      <c r="K25" s="21" t="str">
        <f t="shared" si="2"/>
        <v>XIAOMI</v>
      </c>
      <c r="L25" s="17">
        <v>150</v>
      </c>
      <c r="M25" s="17">
        <v>30</v>
      </c>
      <c r="N25" s="17"/>
      <c r="O25" s="21" t="str">
        <f t="shared" si="3"/>
        <v>UNKNOWN</v>
      </c>
      <c r="P25" s="27">
        <f t="shared" si="4"/>
        <v>150</v>
      </c>
      <c r="Q25" s="28" t="s">
        <v>92</v>
      </c>
      <c r="R25" s="32" t="s">
        <v>137</v>
      </c>
      <c r="S25" s="10" t="str">
        <f t="shared" si="5"/>
        <v>BR</v>
      </c>
      <c r="T25" s="21" t="str">
        <f t="shared" si="6"/>
        <v>XIAOMI FITNESS TRACKER</v>
      </c>
    </row>
    <row r="26" spans="2:20" x14ac:dyDescent="0.25">
      <c r="B26" s="18" t="s">
        <v>72</v>
      </c>
      <c r="C26" s="18" t="s">
        <v>73</v>
      </c>
      <c r="D26" s="18" t="s">
        <v>74</v>
      </c>
      <c r="E26" s="18">
        <v>50</v>
      </c>
      <c r="F26" s="18">
        <v>35</v>
      </c>
      <c r="G26" s="18" t="s">
        <v>75</v>
      </c>
      <c r="I26" s="21" t="str">
        <f t="shared" si="0"/>
        <v>21-AUG-CA</v>
      </c>
      <c r="J26" s="21" t="str">
        <f t="shared" si="1"/>
        <v>LAPTOP BAG</v>
      </c>
      <c r="K26" s="21" t="str">
        <f t="shared" si="2"/>
        <v>SAMSONITE</v>
      </c>
      <c r="L26" s="17">
        <v>800</v>
      </c>
      <c r="M26" s="17">
        <v>45</v>
      </c>
      <c r="N26" s="17" t="s">
        <v>28</v>
      </c>
      <c r="O26" s="21" t="str">
        <f t="shared" si="3"/>
        <v>ELECTRONICS</v>
      </c>
      <c r="P26" s="27">
        <f t="shared" si="4"/>
        <v>800</v>
      </c>
      <c r="Q26" s="28" t="s">
        <v>72</v>
      </c>
      <c r="R26" s="32" t="s">
        <v>146</v>
      </c>
      <c r="S26" s="10" t="str">
        <f t="shared" si="5"/>
        <v>CA</v>
      </c>
      <c r="T26" s="21" t="str">
        <f t="shared" si="6"/>
        <v>SAMSONITE LAPTOP BAG</v>
      </c>
    </row>
    <row r="27" spans="2:20" x14ac:dyDescent="0.25">
      <c r="B27" s="17" t="s">
        <v>95</v>
      </c>
      <c r="C27" s="17" t="s">
        <v>96</v>
      </c>
      <c r="D27" s="17" t="s">
        <v>97</v>
      </c>
      <c r="E27" s="17">
        <v>800</v>
      </c>
      <c r="F27" s="17">
        <v>45</v>
      </c>
      <c r="G27" s="17" t="s">
        <v>28</v>
      </c>
      <c r="I27" s="21" t="str">
        <f t="shared" si="0"/>
        <v>29-SEP-CA</v>
      </c>
      <c r="J27" s="21" t="str">
        <f t="shared" si="1"/>
        <v>SMARTPHONE</v>
      </c>
      <c r="K27" s="21" t="str">
        <f t="shared" si="2"/>
        <v>GOOGLE</v>
      </c>
      <c r="L27" s="17"/>
      <c r="M27" s="17">
        <v>25</v>
      </c>
      <c r="N27" s="17" t="s">
        <v>32</v>
      </c>
      <c r="O27" s="21" t="str">
        <f t="shared" si="3"/>
        <v>FASHION</v>
      </c>
      <c r="P27" s="27">
        <f t="shared" si="4"/>
        <v>74</v>
      </c>
      <c r="Q27" s="28" t="s">
        <v>95</v>
      </c>
      <c r="R27" s="32" t="s">
        <v>153</v>
      </c>
      <c r="S27" s="10" t="str">
        <f t="shared" si="5"/>
        <v>CA</v>
      </c>
      <c r="T27" s="21" t="str">
        <f t="shared" si="6"/>
        <v>GOOGLE SMARTPHONE</v>
      </c>
    </row>
    <row r="28" spans="2:20" x14ac:dyDescent="0.25">
      <c r="B28" s="18" t="s">
        <v>98</v>
      </c>
      <c r="C28" s="18" t="s">
        <v>81</v>
      </c>
      <c r="D28" s="18" t="s">
        <v>99</v>
      </c>
      <c r="E28" s="18"/>
      <c r="F28" s="18">
        <v>25</v>
      </c>
      <c r="G28" s="18" t="s">
        <v>32</v>
      </c>
      <c r="I28" s="21" t="str">
        <f t="shared" si="0"/>
        <v>03-JUN-CA</v>
      </c>
      <c r="J28" s="21" t="str">
        <f t="shared" si="1"/>
        <v>SUNGLASSES</v>
      </c>
      <c r="K28" s="21" t="str">
        <f t="shared" si="2"/>
        <v>RAY-BAN</v>
      </c>
      <c r="L28" s="17">
        <v>400</v>
      </c>
      <c r="M28" s="17">
        <v>40</v>
      </c>
      <c r="N28" s="17" t="s">
        <v>36</v>
      </c>
      <c r="O28" s="21" t="str">
        <f t="shared" si="3"/>
        <v>KITCHEN</v>
      </c>
      <c r="P28" s="27">
        <f t="shared" si="4"/>
        <v>400</v>
      </c>
      <c r="Q28" s="28" t="s">
        <v>98</v>
      </c>
      <c r="R28" s="32" t="s">
        <v>154</v>
      </c>
      <c r="S28" s="10" t="str">
        <f t="shared" si="5"/>
        <v>CA</v>
      </c>
      <c r="T28" s="21" t="str">
        <f t="shared" si="6"/>
        <v>RAY-BAN SUNGLASSES</v>
      </c>
    </row>
    <row r="29" spans="2:20" x14ac:dyDescent="0.25">
      <c r="B29" s="17" t="s">
        <v>100</v>
      </c>
      <c r="C29" s="17" t="s">
        <v>51</v>
      </c>
      <c r="D29" s="17" t="s">
        <v>101</v>
      </c>
      <c r="E29" s="17">
        <v>400</v>
      </c>
      <c r="F29" s="17">
        <v>40</v>
      </c>
      <c r="G29" s="17" t="s">
        <v>36</v>
      </c>
      <c r="I29" s="21" t="str">
        <f t="shared" si="0"/>
        <v>11-JUL-CA</v>
      </c>
      <c r="J29" s="21" t="str">
        <f t="shared" si="1"/>
        <v>BLENDER</v>
      </c>
      <c r="K29" s="21" t="str">
        <f t="shared" si="2"/>
        <v>VITAMIX</v>
      </c>
      <c r="L29" s="17">
        <v>60</v>
      </c>
      <c r="M29" s="17">
        <v>30</v>
      </c>
      <c r="N29" s="17" t="s">
        <v>32</v>
      </c>
      <c r="O29" s="21" t="str">
        <f t="shared" si="3"/>
        <v>FASHION</v>
      </c>
      <c r="P29" s="27">
        <f t="shared" si="4"/>
        <v>60</v>
      </c>
      <c r="Q29" s="28" t="s">
        <v>100</v>
      </c>
      <c r="R29" s="32" t="s">
        <v>155</v>
      </c>
      <c r="S29" s="10" t="str">
        <f t="shared" si="5"/>
        <v>CA</v>
      </c>
      <c r="T29" s="21" t="str">
        <f t="shared" si="6"/>
        <v>VITAMIX BLENDER</v>
      </c>
    </row>
    <row r="30" spans="2:20" x14ac:dyDescent="0.25">
      <c r="B30" s="18" t="s">
        <v>69</v>
      </c>
      <c r="C30" s="18" t="s">
        <v>70</v>
      </c>
      <c r="D30" s="18" t="s">
        <v>71</v>
      </c>
      <c r="E30" s="18">
        <v>250</v>
      </c>
      <c r="F30" s="18">
        <v>20</v>
      </c>
      <c r="G30" s="18" t="s">
        <v>28</v>
      </c>
      <c r="I30" s="21" t="str">
        <f t="shared" si="0"/>
        <v>16-APR-ES</v>
      </c>
      <c r="J30" s="21" t="str">
        <f t="shared" si="1"/>
        <v>HEADPHONES</v>
      </c>
      <c r="K30" s="21" t="str">
        <f t="shared" si="2"/>
        <v>BOSE</v>
      </c>
      <c r="L30" s="17">
        <v>40</v>
      </c>
      <c r="M30" s="17">
        <v>10</v>
      </c>
      <c r="N30" s="17" t="s">
        <v>36</v>
      </c>
      <c r="O30" s="21" t="str">
        <f t="shared" si="3"/>
        <v>KITCHEN</v>
      </c>
      <c r="P30" s="27">
        <f t="shared" si="4"/>
        <v>40</v>
      </c>
      <c r="Q30" s="28" t="s">
        <v>69</v>
      </c>
      <c r="R30" s="32" t="s">
        <v>145</v>
      </c>
      <c r="S30" s="10" t="str">
        <f t="shared" si="5"/>
        <v>ES</v>
      </c>
      <c r="T30" s="21" t="str">
        <f t="shared" si="6"/>
        <v>BOSE HEADPHONES</v>
      </c>
    </row>
    <row r="31" spans="2:20" x14ac:dyDescent="0.25">
      <c r="B31" s="17" t="s">
        <v>102</v>
      </c>
      <c r="C31" s="17" t="s">
        <v>103</v>
      </c>
      <c r="D31" s="17" t="s">
        <v>104</v>
      </c>
      <c r="E31" s="17">
        <v>60</v>
      </c>
      <c r="F31" s="17">
        <v>30</v>
      </c>
      <c r="G31" s="17" t="s">
        <v>32</v>
      </c>
      <c r="I31" s="21" t="str">
        <f t="shared" si="0"/>
        <v>07-MAR-CA</v>
      </c>
      <c r="J31" s="21" t="str">
        <f t="shared" si="1"/>
        <v>DRESS</v>
      </c>
      <c r="K31" s="21" t="str">
        <f t="shared" si="2"/>
        <v>ZARA</v>
      </c>
      <c r="L31" s="17">
        <v>130</v>
      </c>
      <c r="M31" s="17">
        <v>5</v>
      </c>
      <c r="N31" s="17" t="s">
        <v>28</v>
      </c>
      <c r="O31" s="21" t="str">
        <f t="shared" si="3"/>
        <v>ELECTRONICS</v>
      </c>
      <c r="P31" s="27">
        <f t="shared" si="4"/>
        <v>130</v>
      </c>
      <c r="Q31" s="28" t="s">
        <v>102</v>
      </c>
      <c r="R31" s="32" t="s">
        <v>156</v>
      </c>
      <c r="S31" s="10" t="str">
        <f t="shared" si="5"/>
        <v>CA</v>
      </c>
      <c r="T31" s="21" t="str">
        <f t="shared" si="6"/>
        <v>ZARA DRESS</v>
      </c>
    </row>
    <row r="32" spans="2:20" x14ac:dyDescent="0.25">
      <c r="B32" s="18" t="s">
        <v>105</v>
      </c>
      <c r="C32" s="18" t="s">
        <v>106</v>
      </c>
      <c r="D32" s="18" t="s">
        <v>107</v>
      </c>
      <c r="E32" s="18">
        <v>40</v>
      </c>
      <c r="F32" s="18">
        <v>10</v>
      </c>
      <c r="G32" s="18" t="s">
        <v>36</v>
      </c>
      <c r="I32" s="21" t="str">
        <f t="shared" si="0"/>
        <v>13-APR-CA</v>
      </c>
      <c r="J32" s="21" t="str">
        <f t="shared" si="1"/>
        <v>TOASTER</v>
      </c>
      <c r="K32" s="21" t="str">
        <f t="shared" si="2"/>
        <v>HAMILTON</v>
      </c>
      <c r="L32" s="17">
        <v>50</v>
      </c>
      <c r="M32" s="17">
        <v>50</v>
      </c>
      <c r="N32" s="17" t="s">
        <v>32</v>
      </c>
      <c r="O32" s="21" t="str">
        <f t="shared" si="3"/>
        <v>FASHION</v>
      </c>
      <c r="P32" s="27">
        <f t="shared" si="4"/>
        <v>50</v>
      </c>
      <c r="Q32" s="28" t="s">
        <v>105</v>
      </c>
      <c r="R32" s="32" t="s">
        <v>157</v>
      </c>
      <c r="S32" s="10" t="str">
        <f t="shared" si="5"/>
        <v>CA</v>
      </c>
      <c r="T32" s="21" t="str">
        <f t="shared" si="6"/>
        <v>HAMILTON TOASTER</v>
      </c>
    </row>
    <row r="33" spans="1:20" x14ac:dyDescent="0.25">
      <c r="B33" s="17" t="s">
        <v>108</v>
      </c>
      <c r="C33" s="17" t="s">
        <v>93</v>
      </c>
      <c r="D33" s="17" t="s">
        <v>109</v>
      </c>
      <c r="E33" s="17">
        <v>130</v>
      </c>
      <c r="F33" s="17">
        <v>5</v>
      </c>
      <c r="G33" s="17" t="s">
        <v>28</v>
      </c>
      <c r="I33" s="21" t="str">
        <f t="shared" si="0"/>
        <v>24-MAY-CA</v>
      </c>
      <c r="J33" s="21" t="str">
        <f t="shared" si="1"/>
        <v>FITNESS TRACKER</v>
      </c>
      <c r="K33" s="21" t="str">
        <f t="shared" si="2"/>
        <v>GARMIN</v>
      </c>
      <c r="L33" s="17">
        <v>100</v>
      </c>
      <c r="M33" s="17">
        <v>20</v>
      </c>
      <c r="N33" s="17" t="s">
        <v>75</v>
      </c>
      <c r="O33" s="21" t="str">
        <f t="shared" si="3"/>
        <v>ACCESSORIES</v>
      </c>
      <c r="P33" s="27">
        <f t="shared" si="4"/>
        <v>100</v>
      </c>
      <c r="Q33" s="28" t="s">
        <v>108</v>
      </c>
      <c r="R33" s="32" t="s">
        <v>158</v>
      </c>
      <c r="S33" s="10" t="str">
        <f t="shared" si="5"/>
        <v>CA</v>
      </c>
      <c r="T33" s="21" t="str">
        <f t="shared" si="6"/>
        <v>GARMIN FITNESS TRACKER</v>
      </c>
    </row>
    <row r="34" spans="1:20" x14ac:dyDescent="0.25">
      <c r="B34" s="18" t="s">
        <v>110</v>
      </c>
      <c r="C34" s="18" t="s">
        <v>111</v>
      </c>
      <c r="D34" s="18" t="s">
        <v>112</v>
      </c>
      <c r="E34" s="18">
        <v>50</v>
      </c>
      <c r="F34" s="18">
        <v>50</v>
      </c>
      <c r="G34" s="18" t="s">
        <v>32</v>
      </c>
      <c r="O34" s="24" t="s">
        <v>116</v>
      </c>
      <c r="P34" s="31">
        <f>AVERAGE(P3:P33)</f>
        <v>294.74193548387098</v>
      </c>
    </row>
    <row r="35" spans="1:20" x14ac:dyDescent="0.25">
      <c r="B35" s="17" t="s">
        <v>60</v>
      </c>
      <c r="C35" s="17" t="s">
        <v>61</v>
      </c>
      <c r="D35" s="17" t="s">
        <v>62</v>
      </c>
      <c r="E35" s="17">
        <v>950</v>
      </c>
      <c r="F35" s="17">
        <v>25</v>
      </c>
      <c r="G35" s="17" t="s">
        <v>28</v>
      </c>
    </row>
    <row r="36" spans="1:20" x14ac:dyDescent="0.25">
      <c r="B36" s="18" t="s">
        <v>113</v>
      </c>
      <c r="C36" s="18" t="s">
        <v>114</v>
      </c>
      <c r="D36" s="18" t="s">
        <v>115</v>
      </c>
      <c r="E36" s="18">
        <v>100</v>
      </c>
      <c r="F36" s="18">
        <v>20</v>
      </c>
      <c r="G36" s="18" t="s">
        <v>75</v>
      </c>
    </row>
    <row r="38" spans="1:20" ht="25" x14ac:dyDescent="0.25">
      <c r="A38" s="19" t="s">
        <v>117</v>
      </c>
      <c r="B38" s="9">
        <f>COUNTBLANK(B6:B36)</f>
        <v>0</v>
      </c>
      <c r="C38" s="9">
        <f>COUNTBLANK(C6:C36)</f>
        <v>0</v>
      </c>
      <c r="D38" s="9">
        <f>COUNTBLANK(D6:D36)</f>
        <v>0</v>
      </c>
      <c r="E38" s="9">
        <f>COUNTBLANK(E3:E36)</f>
        <v>3</v>
      </c>
      <c r="F38" s="9">
        <f>COUNTBLANK(F3:F36)</f>
        <v>0</v>
      </c>
      <c r="G38" s="9">
        <f>COUNTBLANK(G6:G36)</f>
        <v>4</v>
      </c>
      <c r="I38" s="20" t="s">
        <v>120</v>
      </c>
      <c r="J38" s="20" t="s">
        <v>121</v>
      </c>
      <c r="K38" s="20" t="s">
        <v>121</v>
      </c>
      <c r="L38" s="20"/>
      <c r="M38" s="20"/>
      <c r="N38" s="20" t="s">
        <v>122</v>
      </c>
      <c r="O38" s="25" t="s">
        <v>123</v>
      </c>
      <c r="P38" s="26" t="s">
        <v>124</v>
      </c>
      <c r="Q38" s="25" t="s">
        <v>127</v>
      </c>
      <c r="R38" s="25" t="s">
        <v>159</v>
      </c>
      <c r="S38" s="25" t="s">
        <v>128</v>
      </c>
      <c r="T38" s="25" t="s">
        <v>129</v>
      </c>
    </row>
    <row r="39" spans="1:20" ht="37.5" x14ac:dyDescent="0.25">
      <c r="A39" s="19" t="s">
        <v>116</v>
      </c>
      <c r="B39" s="9"/>
      <c r="C39" s="9"/>
      <c r="D39" s="9"/>
      <c r="E39" s="9">
        <f>AVERAGE(E3:E36)</f>
        <v>309.35483870967744</v>
      </c>
      <c r="F39" s="9">
        <f>AVERAGE(F3:F36)</f>
        <v>26.470588235294116</v>
      </c>
      <c r="G39" s="9"/>
      <c r="O39" s="26" t="s">
        <v>161</v>
      </c>
      <c r="P39" s="26" t="s">
        <v>130</v>
      </c>
    </row>
    <row r="40" spans="1:20" x14ac:dyDescent="0.25">
      <c r="P40" s="29" t="s">
        <v>160</v>
      </c>
    </row>
    <row r="41" spans="1:20" ht="15" x14ac:dyDescent="0.3">
      <c r="I41" s="14" t="s">
        <v>1</v>
      </c>
      <c r="J41" s="13"/>
    </row>
    <row r="42" spans="1:20" ht="15.5" x14ac:dyDescent="0.35">
      <c r="J42" s="11" t="s">
        <v>2</v>
      </c>
    </row>
    <row r="43" spans="1:20" ht="15.5" x14ac:dyDescent="0.35">
      <c r="I43" s="4"/>
      <c r="J43" s="11" t="s">
        <v>3</v>
      </c>
    </row>
    <row r="44" spans="1:20" ht="14.5" x14ac:dyDescent="0.35">
      <c r="I44" s="4"/>
    </row>
    <row r="45" spans="1:20" ht="15" x14ac:dyDescent="0.3">
      <c r="I45" s="12" t="s">
        <v>4</v>
      </c>
      <c r="J45" s="13"/>
    </row>
    <row r="46" spans="1:20" ht="15.5" x14ac:dyDescent="0.35">
      <c r="J46" s="3" t="s">
        <v>5</v>
      </c>
    </row>
    <row r="47" spans="1:20" ht="15.5" x14ac:dyDescent="0.35">
      <c r="J47" s="3" t="s">
        <v>6</v>
      </c>
    </row>
    <row r="48" spans="1:20" ht="15.5" x14ac:dyDescent="0.35">
      <c r="J48" s="3" t="s">
        <v>7</v>
      </c>
    </row>
    <row r="49" spans="9:19" ht="14.5" x14ac:dyDescent="0.35">
      <c r="I49" s="4"/>
    </row>
    <row r="50" spans="9:19" ht="15" x14ac:dyDescent="0.3">
      <c r="I50" s="12" t="s">
        <v>8</v>
      </c>
      <c r="J50" s="13"/>
    </row>
    <row r="51" spans="9:19" ht="15.5" x14ac:dyDescent="0.35">
      <c r="I51" s="2"/>
      <c r="J51" s="3" t="s">
        <v>9</v>
      </c>
    </row>
    <row r="53" spans="9:19" ht="15" x14ac:dyDescent="0.3">
      <c r="I53" s="12" t="s">
        <v>10</v>
      </c>
      <c r="J53" s="15"/>
      <c r="K53" s="5"/>
      <c r="L53" s="5"/>
      <c r="M53" s="5"/>
      <c r="N53" s="5"/>
      <c r="O53" s="5"/>
      <c r="P53" s="5"/>
      <c r="Q53" s="5"/>
      <c r="R53" s="5"/>
      <c r="S53" s="5"/>
    </row>
    <row r="54" spans="9:19" ht="15.5" x14ac:dyDescent="0.35">
      <c r="I54" s="5"/>
      <c r="J54" s="3" t="s">
        <v>11</v>
      </c>
      <c r="K54" s="5"/>
      <c r="L54" s="5"/>
      <c r="M54" s="5"/>
      <c r="N54" s="5"/>
      <c r="O54" s="5"/>
      <c r="P54" s="5"/>
      <c r="Q54" s="5"/>
      <c r="R54" s="5"/>
      <c r="S54" s="5"/>
    </row>
    <row r="55" spans="9:19" ht="15.5" x14ac:dyDescent="0.35">
      <c r="I55" s="5"/>
      <c r="J55" s="3" t="s">
        <v>12</v>
      </c>
      <c r="K55" s="5"/>
      <c r="L55" s="5"/>
      <c r="M55" s="5"/>
      <c r="N55" s="5"/>
      <c r="O55" s="5"/>
      <c r="P55" s="5"/>
      <c r="Q55" s="5"/>
      <c r="R55" s="5"/>
      <c r="S55" s="5"/>
    </row>
    <row r="56" spans="9:19" x14ac:dyDescent="0.25"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9:19" ht="15" x14ac:dyDescent="0.3">
      <c r="I57" s="12" t="s">
        <v>13</v>
      </c>
      <c r="J57" s="15"/>
      <c r="K57" s="5"/>
      <c r="L57" s="5"/>
      <c r="M57" s="5"/>
      <c r="N57" s="5"/>
      <c r="O57" s="5"/>
      <c r="P57" s="5"/>
      <c r="Q57" s="5"/>
      <c r="R57" s="5"/>
      <c r="S57" s="5"/>
    </row>
    <row r="58" spans="9:19" ht="15.5" x14ac:dyDescent="0.35">
      <c r="I58" s="5"/>
      <c r="J58" s="3" t="s">
        <v>14</v>
      </c>
      <c r="K58" s="5"/>
      <c r="L58" s="5"/>
      <c r="M58" s="5"/>
      <c r="N58" s="5"/>
      <c r="O58" s="5"/>
      <c r="P58" s="5"/>
      <c r="Q58" s="5"/>
      <c r="R58" s="5"/>
      <c r="S58" s="5"/>
    </row>
    <row r="59" spans="9:19" ht="15.5" x14ac:dyDescent="0.35">
      <c r="I59" s="5"/>
      <c r="J59" s="3" t="s">
        <v>15</v>
      </c>
      <c r="K59" s="5"/>
      <c r="L59" s="5"/>
      <c r="M59" s="5"/>
      <c r="N59" s="5"/>
      <c r="O59" s="5"/>
      <c r="P59" s="5"/>
      <c r="Q59" s="5"/>
      <c r="R59" s="5"/>
      <c r="S59" s="5"/>
    </row>
    <row r="60" spans="9:19" x14ac:dyDescent="0.25"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9:19" ht="15" x14ac:dyDescent="0.3">
      <c r="I61" s="12" t="s">
        <v>16</v>
      </c>
      <c r="J61" s="15"/>
      <c r="K61" s="5"/>
      <c r="L61" s="5"/>
      <c r="M61" s="5"/>
      <c r="N61" s="5"/>
      <c r="O61" s="5"/>
      <c r="P61" s="5"/>
      <c r="Q61" s="5"/>
      <c r="R61" s="5"/>
      <c r="S61" s="5"/>
    </row>
    <row r="62" spans="9:19" ht="15.5" x14ac:dyDescent="0.35">
      <c r="I62" s="5"/>
      <c r="J62" s="3" t="s">
        <v>17</v>
      </c>
      <c r="K62" s="5"/>
      <c r="L62" s="5"/>
      <c r="M62" s="5"/>
      <c r="N62" s="5"/>
      <c r="O62" s="5"/>
      <c r="P62" s="5"/>
      <c r="Q62" s="5"/>
      <c r="R62" s="5"/>
      <c r="S62" s="5"/>
    </row>
    <row r="63" spans="9:19" ht="15.5" x14ac:dyDescent="0.35">
      <c r="I63" s="5"/>
      <c r="J63" s="3" t="s">
        <v>18</v>
      </c>
      <c r="K63" s="5"/>
      <c r="L63" s="5"/>
      <c r="M63" s="5"/>
      <c r="N63" s="5"/>
      <c r="O63" s="5"/>
      <c r="P63" s="5"/>
      <c r="Q63" s="5"/>
      <c r="R63" s="5"/>
      <c r="S63" s="5"/>
    </row>
    <row r="64" spans="9:19" ht="15.5" x14ac:dyDescent="0.35">
      <c r="I64" s="5"/>
      <c r="J64" s="3"/>
      <c r="K64" s="5"/>
      <c r="L64" s="5"/>
      <c r="M64" s="5"/>
      <c r="N64" s="5"/>
      <c r="O64" s="5"/>
      <c r="P64" s="5"/>
      <c r="Q64" s="5"/>
      <c r="R64" s="5"/>
      <c r="S64" s="5"/>
    </row>
  </sheetData>
  <mergeCells count="1">
    <mergeCell ref="B1:G1"/>
  </mergeCells>
  <conditionalFormatting sqref="B3:B36">
    <cfRule type="duplicateValues" dxfId="1" priority="15"/>
  </conditionalFormatting>
  <conditionalFormatting sqref="O3:O33">
    <cfRule type="endsWith" dxfId="0" priority="2" stopIfTrue="1" operator="endsWith" text="ELECTRONICS">
      <formula>RIGHT(O3,LEN("ELECTRONICS"))="ELECTRONICS"</formula>
    </cfRule>
  </conditionalFormatting>
  <conditionalFormatting sqref="P3:P3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{5368CD08-31E3-489C-B55B-F32194D8A9AC}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68CD08-31E3-489C-B55B-F32194D8A9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Assignment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Mithuvashini Viswanathan</cp:lastModifiedBy>
  <dcterms:modified xsi:type="dcterms:W3CDTF">2025-11-07T13:37:46Z</dcterms:modified>
</cp:coreProperties>
</file>